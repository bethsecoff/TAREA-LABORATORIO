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a\Desktop\"/>
    </mc:Choice>
  </mc:AlternateContent>
  <xr:revisionPtr revIDLastSave="0" documentId="8_{EF905428-1A2C-477A-8D47-A0D50EA4CDDE}" xr6:coauthVersionLast="47" xr6:coauthVersionMax="47" xr10:uidLastSave="{00000000-0000-0000-0000-000000000000}"/>
  <bookViews>
    <workbookView xWindow="-108" yWindow="-108" windowWidth="23256" windowHeight="12456" activeTab="4" xr2:uid="{32F82D84-48C2-4760-AA5F-9F3727C4DACF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5" l="1"/>
  <c r="F4" i="5"/>
  <c r="F5" i="5"/>
  <c r="F2" i="5"/>
  <c r="C2" i="4"/>
  <c r="K2" i="4"/>
  <c r="E3" i="5"/>
  <c r="E4" i="5"/>
  <c r="E5" i="5"/>
  <c r="G5" i="5" s="1"/>
  <c r="E2" i="5"/>
  <c r="E10" i="5" s="1"/>
  <c r="N2" i="4"/>
  <c r="M3" i="4"/>
  <c r="M4" i="4"/>
  <c r="M5" i="4"/>
  <c r="M6" i="4"/>
  <c r="M7" i="4"/>
  <c r="M8" i="4"/>
  <c r="M2" i="4"/>
  <c r="L3" i="4"/>
  <c r="L4" i="4"/>
  <c r="L5" i="4"/>
  <c r="L6" i="4"/>
  <c r="L7" i="4"/>
  <c r="L8" i="4"/>
  <c r="L2" i="4"/>
  <c r="K3" i="4"/>
  <c r="K4" i="4"/>
  <c r="K5" i="4"/>
  <c r="K6" i="4"/>
  <c r="K7" i="4"/>
  <c r="K8" i="4"/>
  <c r="J3" i="4"/>
  <c r="N3" i="4" s="1"/>
  <c r="J4" i="4"/>
  <c r="N4" i="4" s="1"/>
  <c r="J5" i="4"/>
  <c r="N5" i="4" s="1"/>
  <c r="J6" i="4"/>
  <c r="N6" i="4" s="1"/>
  <c r="J7" i="4"/>
  <c r="N7" i="4" s="1"/>
  <c r="J8" i="4"/>
  <c r="N8" i="4" s="1"/>
  <c r="J2" i="4"/>
  <c r="C3" i="4"/>
  <c r="C4" i="4"/>
  <c r="C5" i="4"/>
  <c r="C6" i="4"/>
  <c r="C7" i="4"/>
  <c r="C8" i="4"/>
  <c r="C2" i="3"/>
  <c r="C3" i="3"/>
  <c r="C4" i="3"/>
  <c r="C5" i="3"/>
  <c r="C6" i="3"/>
  <c r="C7" i="3"/>
  <c r="C8" i="3"/>
  <c r="C3" i="2"/>
  <c r="C4" i="2"/>
  <c r="C5" i="2"/>
  <c r="C6" i="2"/>
  <c r="C7" i="2"/>
  <c r="C8" i="2"/>
  <c r="C2" i="2"/>
  <c r="C3" i="1"/>
  <c r="C4" i="1"/>
  <c r="C5" i="1"/>
  <c r="C6" i="1"/>
  <c r="C7" i="1"/>
  <c r="C8" i="1"/>
  <c r="C2" i="1"/>
  <c r="G2" i="5" l="1"/>
  <c r="G4" i="5"/>
  <c r="E8" i="5"/>
  <c r="G3" i="5"/>
</calcChain>
</file>

<file path=xl/sharedStrings.xml><?xml version="1.0" encoding="utf-8"?>
<sst xmlns="http://schemas.openxmlformats.org/spreadsheetml/2006/main" count="88" uniqueCount="76">
  <si>
    <t>ALUMNOS</t>
  </si>
  <si>
    <t>UZIEL G.</t>
  </si>
  <si>
    <t>CAMIL M.</t>
  </si>
  <si>
    <t>LUISA A.</t>
  </si>
  <si>
    <t>ANTONIO P.</t>
  </si>
  <si>
    <t>FREDY L.</t>
  </si>
  <si>
    <t>GLEN S.</t>
  </si>
  <si>
    <t>KAREN J.</t>
  </si>
  <si>
    <t>NOTA</t>
  </si>
  <si>
    <t>APROBADO O REPROBADO</t>
  </si>
  <si>
    <t>PRODUCTO</t>
  </si>
  <si>
    <t>CANTIDAD DISPONIBLE</t>
  </si>
  <si>
    <t>LAPTOP DELL INSPIRON</t>
  </si>
  <si>
    <t>MOUSE INALAMBRICO</t>
  </si>
  <si>
    <t>PROYECTOR EPSON</t>
  </si>
  <si>
    <t>IMPRESORA CANON</t>
  </si>
  <si>
    <t>IMPRESORA EPSON</t>
  </si>
  <si>
    <t>TECLADO INALAMBRICO</t>
  </si>
  <si>
    <t>CABLES HDMI</t>
  </si>
  <si>
    <t>ALERTA</t>
  </si>
  <si>
    <t>EMPLEADOS</t>
  </si>
  <si>
    <t>MERECE PAGO</t>
  </si>
  <si>
    <t>CAMI M.</t>
  </si>
  <si>
    <t>LUIS A.</t>
  </si>
  <si>
    <t>FREDYL.</t>
  </si>
  <si>
    <t>HORAS TRABAJADAS</t>
  </si>
  <si>
    <t>NOMBRE</t>
  </si>
  <si>
    <t>APELLIDO</t>
  </si>
  <si>
    <t>UZIEL</t>
  </si>
  <si>
    <t>GARCIA</t>
  </si>
  <si>
    <t>CAMIL</t>
  </si>
  <si>
    <t>MEJIA</t>
  </si>
  <si>
    <t>LUIS</t>
  </si>
  <si>
    <t>ALVARADO</t>
  </si>
  <si>
    <t>ANTONIO</t>
  </si>
  <si>
    <t>VARGAS</t>
  </si>
  <si>
    <t>FREDY</t>
  </si>
  <si>
    <t>LICONA</t>
  </si>
  <si>
    <t>GLEN</t>
  </si>
  <si>
    <t>SECOFF</t>
  </si>
  <si>
    <t>KAREN</t>
  </si>
  <si>
    <t>JACKSON</t>
  </si>
  <si>
    <t>NOMBRE COMPLETO</t>
  </si>
  <si>
    <t>LUNES</t>
  </si>
  <si>
    <t>MARTES</t>
  </si>
  <si>
    <t>MIÉRCOLES</t>
  </si>
  <si>
    <t>JUEVES</t>
  </si>
  <si>
    <t>VIERNES</t>
  </si>
  <si>
    <t>HORAS SEMANALES</t>
  </si>
  <si>
    <t>MAYOR HORA POR DIA</t>
  </si>
  <si>
    <t>MENOR HORA POR DIA</t>
  </si>
  <si>
    <t>PROMEDIO DE HORAS LABORADAS</t>
  </si>
  <si>
    <t>OBSERVACIÓN</t>
  </si>
  <si>
    <t>CARGO</t>
  </si>
  <si>
    <t>JEFE</t>
  </si>
  <si>
    <t>TECNICO</t>
  </si>
  <si>
    <t>DEVOPS</t>
  </si>
  <si>
    <t>HACKER</t>
  </si>
  <si>
    <t>CARGOS</t>
  </si>
  <si>
    <t>MARKETING</t>
  </si>
  <si>
    <t>Lapto</t>
  </si>
  <si>
    <t>Mouse</t>
  </si>
  <si>
    <t>Teclado</t>
  </si>
  <si>
    <t>Monitor</t>
  </si>
  <si>
    <t>Producto</t>
  </si>
  <si>
    <t>Categoría</t>
  </si>
  <si>
    <t>Precio</t>
  </si>
  <si>
    <t>Cantidad Vendida</t>
  </si>
  <si>
    <t>Total Venta</t>
  </si>
  <si>
    <t>Venta mayor</t>
  </si>
  <si>
    <t>Venta menor</t>
  </si>
  <si>
    <t>Código Producto</t>
  </si>
  <si>
    <t>Tecnología</t>
  </si>
  <si>
    <t>Accesorios</t>
  </si>
  <si>
    <t>Hogar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</si>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</sst>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1" fontId="0" fillId="0" borderId="0" xfId="0" applyNumberFormat="1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Alignme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7097-44FA-400A-8EB5-B1F5C3AC8560}">
  <dimension ref="A1:C8"/>
  <sheetViews>
    <sheetView workbookViewId="0">
      <selection activeCell="A2" sqref="A2:A8"/>
    </sheetView>
  </sheetViews>
  <sheetFormatPr baseColWidth="10" defaultRowHeight="14.4" x14ac:dyDescent="0.3"/>
  <cols>
    <col min="3" max="3" width="26.77734375" customWidth="1"/>
  </cols>
  <sheetData>
    <row r="1" spans="1:3" x14ac:dyDescent="0.3">
      <c r="A1" s="1" t="s">
        <v>0</v>
      </c>
      <c r="B1" s="1" t="s">
        <v>8</v>
      </c>
      <c r="C1" s="1" t="s">
        <v>9</v>
      </c>
    </row>
    <row r="2" spans="1:3" x14ac:dyDescent="0.3">
      <c r="A2" t="s">
        <v>1</v>
      </c>
      <c r="B2">
        <v>30</v>
      </c>
      <c r="C2" t="str">
        <f>IF(B2 &gt;=70,"APROBADO","REPROBADO")</f>
        <v>REPROBADO</v>
      </c>
    </row>
    <row r="3" spans="1:3" x14ac:dyDescent="0.3">
      <c r="A3" t="s">
        <v>2</v>
      </c>
      <c r="B3">
        <v>70</v>
      </c>
      <c r="C3" t="str">
        <f t="shared" ref="C3:C8" si="0">IF(B3 &gt;=70,"APROBADO","REPROBADO")</f>
        <v>APROBADO</v>
      </c>
    </row>
    <row r="4" spans="1:3" x14ac:dyDescent="0.3">
      <c r="A4" t="s">
        <v>3</v>
      </c>
      <c r="B4">
        <v>78</v>
      </c>
      <c r="C4" t="str">
        <f t="shared" si="0"/>
        <v>APROBADO</v>
      </c>
    </row>
    <row r="5" spans="1:3" x14ac:dyDescent="0.3">
      <c r="A5" t="s">
        <v>4</v>
      </c>
      <c r="B5">
        <v>99</v>
      </c>
      <c r="C5" t="str">
        <f t="shared" si="0"/>
        <v>APROBADO</v>
      </c>
    </row>
    <row r="6" spans="1:3" x14ac:dyDescent="0.3">
      <c r="A6" t="s">
        <v>5</v>
      </c>
      <c r="B6">
        <v>44</v>
      </c>
      <c r="C6" t="str">
        <f t="shared" si="0"/>
        <v>REPROBADO</v>
      </c>
    </row>
    <row r="7" spans="1:3" x14ac:dyDescent="0.3">
      <c r="A7" t="s">
        <v>6</v>
      </c>
      <c r="B7">
        <v>65</v>
      </c>
      <c r="C7" t="str">
        <f t="shared" si="0"/>
        <v>REPROBADO</v>
      </c>
    </row>
    <row r="8" spans="1:3" x14ac:dyDescent="0.3">
      <c r="A8" t="s">
        <v>7</v>
      </c>
      <c r="B8">
        <v>90</v>
      </c>
      <c r="C8" t="str">
        <f t="shared" si="0"/>
        <v>APROBADO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EE4D-CED1-489E-9E00-380AFFA973F5}">
  <dimension ref="A1:C8"/>
  <sheetViews>
    <sheetView workbookViewId="0">
      <selection activeCell="C2" sqref="C2"/>
    </sheetView>
  </sheetViews>
  <sheetFormatPr baseColWidth="10" defaultRowHeight="14.4" x14ac:dyDescent="0.3"/>
  <cols>
    <col min="1" max="1" width="21.109375" customWidth="1"/>
    <col min="2" max="2" width="23" customWidth="1"/>
  </cols>
  <sheetData>
    <row r="1" spans="1:3" x14ac:dyDescent="0.3">
      <c r="A1" s="1" t="s">
        <v>10</v>
      </c>
      <c r="B1" s="1" t="s">
        <v>11</v>
      </c>
      <c r="C1" s="1" t="s">
        <v>19</v>
      </c>
    </row>
    <row r="2" spans="1:3" x14ac:dyDescent="0.3">
      <c r="A2" t="s">
        <v>12</v>
      </c>
      <c r="B2">
        <v>340</v>
      </c>
      <c r="C2" t="str">
        <f>IF(B2&lt;100,"STOCK BAJO","STOCK ALTO")</f>
        <v>STOCK ALTO</v>
      </c>
    </row>
    <row r="3" spans="1:3" x14ac:dyDescent="0.3">
      <c r="A3" t="s">
        <v>13</v>
      </c>
      <c r="B3">
        <v>200</v>
      </c>
      <c r="C3" t="str">
        <f t="shared" ref="C3:C8" si="0">IF(B3&lt;100,"STOCK BAJO","STOCK ALTO")</f>
        <v>STOCK ALTO</v>
      </c>
    </row>
    <row r="4" spans="1:3" x14ac:dyDescent="0.3">
      <c r="A4" t="s">
        <v>17</v>
      </c>
      <c r="B4">
        <v>55</v>
      </c>
      <c r="C4" t="str">
        <f t="shared" si="0"/>
        <v>STOCK BAJO</v>
      </c>
    </row>
    <row r="5" spans="1:3" x14ac:dyDescent="0.3">
      <c r="A5" t="s">
        <v>18</v>
      </c>
      <c r="B5">
        <v>10</v>
      </c>
      <c r="C5" t="str">
        <f t="shared" si="0"/>
        <v>STOCK BAJO</v>
      </c>
    </row>
    <row r="6" spans="1:3" x14ac:dyDescent="0.3">
      <c r="A6" t="s">
        <v>14</v>
      </c>
      <c r="B6">
        <v>30</v>
      </c>
      <c r="C6" t="str">
        <f t="shared" si="0"/>
        <v>STOCK BAJO</v>
      </c>
    </row>
    <row r="7" spans="1:3" x14ac:dyDescent="0.3">
      <c r="A7" t="s">
        <v>15</v>
      </c>
      <c r="B7">
        <v>180</v>
      </c>
      <c r="C7" t="str">
        <f t="shared" si="0"/>
        <v>STOCK ALTO</v>
      </c>
    </row>
    <row r="8" spans="1:3" x14ac:dyDescent="0.3">
      <c r="A8" t="s">
        <v>16</v>
      </c>
      <c r="B8">
        <v>120</v>
      </c>
      <c r="C8" t="str">
        <f t="shared" si="0"/>
        <v>STOCK ALTO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8984-BB47-4447-BC52-D28903FFB883}">
  <dimension ref="A1:C8"/>
  <sheetViews>
    <sheetView workbookViewId="0">
      <selection sqref="A1:C1"/>
    </sheetView>
  </sheetViews>
  <sheetFormatPr baseColWidth="10" defaultRowHeight="14.4" x14ac:dyDescent="0.3"/>
  <cols>
    <col min="2" max="2" width="20.44140625" customWidth="1"/>
    <col min="3" max="3" width="20.6640625" customWidth="1"/>
  </cols>
  <sheetData>
    <row r="1" spans="1:3" x14ac:dyDescent="0.3">
      <c r="A1" s="1" t="s">
        <v>20</v>
      </c>
      <c r="B1" s="1" t="s">
        <v>25</v>
      </c>
      <c r="C1" s="1" t="s">
        <v>21</v>
      </c>
    </row>
    <row r="2" spans="1:3" x14ac:dyDescent="0.3">
      <c r="A2" t="s">
        <v>1</v>
      </c>
      <c r="B2">
        <v>8</v>
      </c>
      <c r="C2" t="str">
        <f>IF(B2&gt;=8,"MERECE PAGO","NO MERECE PAGO")</f>
        <v>MERECE PAGO</v>
      </c>
    </row>
    <row r="3" spans="1:3" x14ac:dyDescent="0.3">
      <c r="A3" t="s">
        <v>22</v>
      </c>
      <c r="B3">
        <v>10</v>
      </c>
      <c r="C3" t="str">
        <f t="shared" ref="C3:C8" si="0">IF(B3&gt;=8,"MERECE PAGO","NO MERECE PAGO")</f>
        <v>MERECE PAGO</v>
      </c>
    </row>
    <row r="4" spans="1:3" x14ac:dyDescent="0.3">
      <c r="A4" t="s">
        <v>23</v>
      </c>
      <c r="B4">
        <v>90</v>
      </c>
      <c r="C4" t="str">
        <f t="shared" si="0"/>
        <v>MERECE PAGO</v>
      </c>
    </row>
    <row r="5" spans="1:3" x14ac:dyDescent="0.3">
      <c r="A5" t="s">
        <v>4</v>
      </c>
      <c r="B5">
        <v>4</v>
      </c>
      <c r="C5" t="str">
        <f t="shared" si="0"/>
        <v>NO MERECE PAGO</v>
      </c>
    </row>
    <row r="6" spans="1:3" x14ac:dyDescent="0.3">
      <c r="A6" t="s">
        <v>24</v>
      </c>
      <c r="B6">
        <v>10</v>
      </c>
      <c r="C6" t="str">
        <f t="shared" si="0"/>
        <v>MERECE PAGO</v>
      </c>
    </row>
    <row r="7" spans="1:3" x14ac:dyDescent="0.3">
      <c r="A7" t="s">
        <v>6</v>
      </c>
      <c r="B7">
        <v>12</v>
      </c>
      <c r="C7" t="str">
        <f t="shared" si="0"/>
        <v>MERECE PAGO</v>
      </c>
    </row>
    <row r="8" spans="1:3" x14ac:dyDescent="0.3">
      <c r="A8" t="s">
        <v>7</v>
      </c>
      <c r="B8">
        <v>8</v>
      </c>
      <c r="C8" t="str">
        <f t="shared" si="0"/>
        <v>MERECE PAGO</v>
      </c>
    </row>
  </sheetData>
  <conditionalFormatting sqref="C2:C8">
    <cfRule type="containsText" dxfId="4" priority="1" operator="containsText" text="NO MERECE PAGO">
      <formula>NOT(ISERROR(SEARCH("NO MERECE PAGO",C2)))</formula>
    </cfRule>
    <cfRule type="containsText" dxfId="3" priority="2" operator="containsText" text="MERECE PAGO">
      <formula>NOT(ISERROR(SEARCH("MERECE PAGO",C2)))</formula>
    </cfRule>
    <cfRule type="containsText" dxfId="2" priority="3" operator="containsText" text="NO MERECE PAGO">
      <formula>NOT(ISERROR(SEARCH("NO MERECE PAGO",C2)))</formula>
    </cfRule>
    <cfRule type="cellIs" dxfId="1" priority="4" operator="between">
      <formula>7</formula>
      <formula>1</formula>
    </cfRule>
    <cfRule type="cellIs" dxfId="0" priority="5" operator="lessThan">
      <formula>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12F7-3309-4CFC-BCBC-0459E4740949}">
  <dimension ref="A1:N16"/>
  <sheetViews>
    <sheetView workbookViewId="0">
      <selection activeCell="C2" sqref="C2"/>
    </sheetView>
  </sheetViews>
  <sheetFormatPr baseColWidth="10" defaultRowHeight="14.4" x14ac:dyDescent="0.3"/>
  <cols>
    <col min="3" max="3" width="21.21875" customWidth="1"/>
    <col min="4" max="4" width="16.5546875" customWidth="1"/>
    <col min="10" max="10" width="19.5546875" customWidth="1"/>
    <col min="11" max="12" width="20.5546875" customWidth="1"/>
    <col min="14" max="14" width="19.44140625" customWidth="1"/>
  </cols>
  <sheetData>
    <row r="1" spans="1:14" ht="43.2" x14ac:dyDescent="0.3">
      <c r="A1" s="3" t="s">
        <v>26</v>
      </c>
      <c r="B1" s="3" t="s">
        <v>27</v>
      </c>
      <c r="C1" s="3" t="s">
        <v>42</v>
      </c>
      <c r="D1" s="3" t="s">
        <v>53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</row>
    <row r="2" spans="1:14" x14ac:dyDescent="0.3">
      <c r="A2" t="s">
        <v>28</v>
      </c>
      <c r="B2" t="s">
        <v>29</v>
      </c>
      <c r="C2" t="str">
        <f>_xlfn.CONCAT(A2," ",B2)</f>
        <v>UZIEL GARCIA</v>
      </c>
      <c r="D2" t="s">
        <v>54</v>
      </c>
      <c r="E2">
        <v>8</v>
      </c>
      <c r="F2">
        <v>13</v>
      </c>
      <c r="G2">
        <v>13</v>
      </c>
      <c r="H2">
        <v>12</v>
      </c>
      <c r="I2">
        <v>12</v>
      </c>
      <c r="J2">
        <f>SUM(E2:I2)</f>
        <v>58</v>
      </c>
      <c r="K2">
        <f>MAX(E2:I2)</f>
        <v>13</v>
      </c>
      <c r="L2">
        <f>MIN(E2:I2)</f>
        <v>8</v>
      </c>
      <c r="M2" s="4">
        <f>AVERAGE(E2:I2)</f>
        <v>11.6</v>
      </c>
      <c r="N2" t="str">
        <f>IF(J2&gt;=40,"ALCANZO LA META","NO ALCANZO LA META")</f>
        <v>ALCANZO LA META</v>
      </c>
    </row>
    <row r="3" spans="1:14" x14ac:dyDescent="0.3">
      <c r="A3" t="s">
        <v>30</v>
      </c>
      <c r="B3" t="s">
        <v>31</v>
      </c>
      <c r="C3" t="str">
        <f t="shared" ref="C3:C8" si="0">_xlfn.CONCAT(A3," ",B3)</f>
        <v>CAMIL MEJIA</v>
      </c>
      <c r="D3" t="s">
        <v>55</v>
      </c>
      <c r="E3">
        <v>8</v>
      </c>
      <c r="F3">
        <v>12</v>
      </c>
      <c r="G3">
        <v>12</v>
      </c>
      <c r="H3">
        <v>12</v>
      </c>
      <c r="I3">
        <v>12</v>
      </c>
      <c r="J3">
        <f t="shared" ref="J3:J8" si="1">SUM(E3:I3)</f>
        <v>56</v>
      </c>
      <c r="K3">
        <f t="shared" ref="K3:K8" si="2">MAX(E3:I3)</f>
        <v>12</v>
      </c>
      <c r="L3">
        <f t="shared" ref="L3:L8" si="3">MIN(E3:I3)</f>
        <v>8</v>
      </c>
      <c r="M3" s="4">
        <f t="shared" ref="M3:M8" si="4">AVERAGE(E3:I3)</f>
        <v>11.2</v>
      </c>
      <c r="N3" t="str">
        <f t="shared" ref="N3:N8" si="5">IF(J3&gt;=40,"ALCANZO LA META","NO ALCANZO LA META")</f>
        <v>ALCANZO LA META</v>
      </c>
    </row>
    <row r="4" spans="1:14" x14ac:dyDescent="0.3">
      <c r="A4" t="s">
        <v>32</v>
      </c>
      <c r="B4" t="s">
        <v>33</v>
      </c>
      <c r="C4" t="str">
        <f t="shared" si="0"/>
        <v>LUIS ALVARADO</v>
      </c>
      <c r="D4" t="s">
        <v>56</v>
      </c>
      <c r="E4">
        <v>3</v>
      </c>
      <c r="F4">
        <v>10</v>
      </c>
      <c r="G4">
        <v>10</v>
      </c>
      <c r="H4">
        <v>3</v>
      </c>
      <c r="I4">
        <v>3</v>
      </c>
      <c r="J4">
        <f t="shared" si="1"/>
        <v>29</v>
      </c>
      <c r="K4">
        <f t="shared" si="2"/>
        <v>10</v>
      </c>
      <c r="L4">
        <f t="shared" si="3"/>
        <v>3</v>
      </c>
      <c r="M4" s="4">
        <f t="shared" si="4"/>
        <v>5.8</v>
      </c>
      <c r="N4" t="str">
        <f t="shared" si="5"/>
        <v>NO ALCANZO LA META</v>
      </c>
    </row>
    <row r="5" spans="1:14" x14ac:dyDescent="0.3">
      <c r="A5" t="s">
        <v>34</v>
      </c>
      <c r="B5" t="s">
        <v>35</v>
      </c>
      <c r="C5" t="str">
        <f t="shared" si="0"/>
        <v>ANTONIO VARGAS</v>
      </c>
      <c r="D5" t="s">
        <v>57</v>
      </c>
      <c r="E5">
        <v>8</v>
      </c>
      <c r="F5">
        <v>5</v>
      </c>
      <c r="G5">
        <v>5</v>
      </c>
      <c r="H5">
        <v>4</v>
      </c>
      <c r="I5">
        <v>4</v>
      </c>
      <c r="J5">
        <f t="shared" si="1"/>
        <v>26</v>
      </c>
      <c r="K5">
        <f t="shared" si="2"/>
        <v>8</v>
      </c>
      <c r="L5">
        <f t="shared" si="3"/>
        <v>4</v>
      </c>
      <c r="M5" s="4">
        <f t="shared" si="4"/>
        <v>5.2</v>
      </c>
      <c r="N5" t="str">
        <f t="shared" si="5"/>
        <v>NO ALCANZO LA META</v>
      </c>
    </row>
    <row r="6" spans="1:14" x14ac:dyDescent="0.3">
      <c r="A6" t="s">
        <v>36</v>
      </c>
      <c r="B6" t="s">
        <v>37</v>
      </c>
      <c r="C6" t="str">
        <f t="shared" si="0"/>
        <v>FREDY LICONA</v>
      </c>
      <c r="D6" t="s">
        <v>59</v>
      </c>
      <c r="E6">
        <v>8</v>
      </c>
      <c r="F6">
        <v>5</v>
      </c>
      <c r="G6">
        <v>5</v>
      </c>
      <c r="H6">
        <v>1</v>
      </c>
      <c r="I6">
        <v>1</v>
      </c>
      <c r="J6">
        <f t="shared" si="1"/>
        <v>20</v>
      </c>
      <c r="K6">
        <f t="shared" si="2"/>
        <v>8</v>
      </c>
      <c r="L6">
        <f t="shared" si="3"/>
        <v>1</v>
      </c>
      <c r="M6" s="4">
        <f t="shared" si="4"/>
        <v>4</v>
      </c>
      <c r="N6" t="str">
        <f t="shared" si="5"/>
        <v>NO ALCANZO LA META</v>
      </c>
    </row>
    <row r="7" spans="1:14" x14ac:dyDescent="0.3">
      <c r="A7" t="s">
        <v>38</v>
      </c>
      <c r="B7" t="s">
        <v>39</v>
      </c>
      <c r="C7" t="str">
        <f t="shared" si="0"/>
        <v>GLEN SECOFF</v>
      </c>
      <c r="D7" t="s">
        <v>55</v>
      </c>
      <c r="E7">
        <v>8</v>
      </c>
      <c r="F7">
        <v>7</v>
      </c>
      <c r="G7">
        <v>7</v>
      </c>
      <c r="H7">
        <v>4</v>
      </c>
      <c r="I7">
        <v>4</v>
      </c>
      <c r="J7">
        <f t="shared" si="1"/>
        <v>30</v>
      </c>
      <c r="K7">
        <f t="shared" si="2"/>
        <v>8</v>
      </c>
      <c r="L7">
        <f t="shared" si="3"/>
        <v>4</v>
      </c>
      <c r="M7" s="4">
        <f t="shared" si="4"/>
        <v>6</v>
      </c>
      <c r="N7" t="str">
        <f t="shared" si="5"/>
        <v>NO ALCANZO LA META</v>
      </c>
    </row>
    <row r="8" spans="1:14" x14ac:dyDescent="0.3">
      <c r="A8" t="s">
        <v>40</v>
      </c>
      <c r="B8" t="s">
        <v>41</v>
      </c>
      <c r="C8" t="str">
        <f t="shared" si="0"/>
        <v>KAREN JACKSON</v>
      </c>
      <c r="D8" t="s">
        <v>59</v>
      </c>
      <c r="E8">
        <v>8</v>
      </c>
      <c r="F8">
        <v>8</v>
      </c>
      <c r="G8">
        <v>8</v>
      </c>
      <c r="H8">
        <v>12</v>
      </c>
      <c r="I8">
        <v>12</v>
      </c>
      <c r="J8">
        <f t="shared" si="1"/>
        <v>48</v>
      </c>
      <c r="K8">
        <f t="shared" si="2"/>
        <v>12</v>
      </c>
      <c r="L8">
        <f t="shared" si="3"/>
        <v>8</v>
      </c>
      <c r="M8" s="4">
        <f t="shared" si="4"/>
        <v>9.6</v>
      </c>
      <c r="N8" t="str">
        <f t="shared" si="5"/>
        <v>ALCANZO LA META</v>
      </c>
    </row>
    <row r="10" spans="1:14" x14ac:dyDescent="0.3">
      <c r="A10" t="s">
        <v>58</v>
      </c>
    </row>
    <row r="11" spans="1:14" x14ac:dyDescent="0.3">
      <c r="A11" t="s">
        <v>54</v>
      </c>
    </row>
    <row r="12" spans="1:14" x14ac:dyDescent="0.3">
      <c r="A12" t="s">
        <v>55</v>
      </c>
    </row>
    <row r="13" spans="1:14" x14ac:dyDescent="0.3">
      <c r="A13" t="s">
        <v>56</v>
      </c>
    </row>
    <row r="14" spans="1:14" x14ac:dyDescent="0.3">
      <c r="A14" t="s">
        <v>57</v>
      </c>
    </row>
    <row r="15" spans="1:14" x14ac:dyDescent="0.3">
      <c r="A15" t="s">
        <v>59</v>
      </c>
    </row>
    <row r="16" spans="1:14" x14ac:dyDescent="0.3">
      <c r="M16" s="2"/>
    </row>
  </sheetData>
  <dataValidations count="1">
    <dataValidation type="list" allowBlank="1" showInputMessage="1" showErrorMessage="1" sqref="D2:D8" xr:uid="{6594C556-337A-4DF2-B2B8-4B422316125A}">
      <formula1>$A$11:$A$15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E181-2AE0-4F3A-AAEB-BB6C976BEA06}">
  <dimension ref="A1:G12"/>
  <sheetViews>
    <sheetView tabSelected="1" workbookViewId="0">
      <selection activeCell="C12" sqref="C12"/>
    </sheetView>
  </sheetViews>
  <sheetFormatPr baseColWidth="10" defaultRowHeight="14.4" x14ac:dyDescent="0.3"/>
  <cols>
    <col min="6" max="6" width="17.109375" customWidth="1"/>
    <col min="7" max="7" width="13" bestFit="1" customWidth="1"/>
  </cols>
  <sheetData>
    <row r="1" spans="1:7" ht="28.8" x14ac:dyDescent="0.3">
      <c r="A1" s="5" t="s">
        <v>64</v>
      </c>
      <c r="B1" s="5" t="s">
        <v>65</v>
      </c>
      <c r="C1" s="5" t="s">
        <v>66</v>
      </c>
      <c r="D1" s="6" t="s">
        <v>67</v>
      </c>
      <c r="E1" s="5" t="s">
        <v>68</v>
      </c>
      <c r="F1" s="5" t="s">
        <v>71</v>
      </c>
      <c r="G1" s="5" t="s">
        <v>75</v>
      </c>
    </row>
    <row r="2" spans="1:7" x14ac:dyDescent="0.3">
      <c r="A2" t="s">
        <v>60</v>
      </c>
      <c r="B2" t="s">
        <v>73</v>
      </c>
      <c r="C2">
        <v>18000</v>
      </c>
      <c r="D2">
        <v>2</v>
      </c>
      <c r="E2">
        <f>C2*D2</f>
        <v>36000</v>
      </c>
      <c r="F2" t="str">
        <f>_xlfn.CONCAT(A2,"-",B2)</f>
        <v>Lapto-Accesorios</v>
      </c>
      <c r="G2" t="str">
        <f>IF(E2&gt;=5000,"Alta","Normal")</f>
        <v>Alta</v>
      </c>
    </row>
    <row r="3" spans="1:7" x14ac:dyDescent="0.3">
      <c r="A3" t="s">
        <v>61</v>
      </c>
      <c r="B3" t="s">
        <v>74</v>
      </c>
      <c r="C3">
        <v>450</v>
      </c>
      <c r="D3">
        <v>5</v>
      </c>
      <c r="E3">
        <f t="shared" ref="E3:E5" si="0">C3*D3</f>
        <v>2250</v>
      </c>
      <c r="F3" t="str">
        <f t="shared" ref="F3:F5" si="1">_xlfn.CONCAT(A3,"-",B3)</f>
        <v>Mouse-Hogar</v>
      </c>
      <c r="G3" t="str">
        <f t="shared" ref="G3:G5" si="2">IF(E3&gt;=5000,"Alta","Normal")</f>
        <v>Normal</v>
      </c>
    </row>
    <row r="4" spans="1:7" x14ac:dyDescent="0.3">
      <c r="A4" t="s">
        <v>62</v>
      </c>
      <c r="B4" t="s">
        <v>73</v>
      </c>
      <c r="C4">
        <v>1200</v>
      </c>
      <c r="D4">
        <v>3</v>
      </c>
      <c r="E4">
        <f t="shared" si="0"/>
        <v>3600</v>
      </c>
      <c r="F4" t="str">
        <f t="shared" si="1"/>
        <v>Teclado-Accesorios</v>
      </c>
      <c r="G4" t="str">
        <f t="shared" si="2"/>
        <v>Normal</v>
      </c>
    </row>
    <row r="5" spans="1:7" x14ac:dyDescent="0.3">
      <c r="A5" t="s">
        <v>63</v>
      </c>
      <c r="B5" t="s">
        <v>72</v>
      </c>
      <c r="C5">
        <v>5500</v>
      </c>
      <c r="D5">
        <v>1</v>
      </c>
      <c r="E5">
        <f t="shared" si="0"/>
        <v>5500</v>
      </c>
      <c r="F5" t="str">
        <f t="shared" si="1"/>
        <v>Monitor-Tecnología</v>
      </c>
      <c r="G5" t="str">
        <f t="shared" si="2"/>
        <v>Alta</v>
      </c>
    </row>
    <row r="7" spans="1:7" x14ac:dyDescent="0.3">
      <c r="E7" t="s">
        <v>69</v>
      </c>
    </row>
    <row r="8" spans="1:7" x14ac:dyDescent="0.3">
      <c r="E8">
        <f>MAX(E2:E5)</f>
        <v>36000</v>
      </c>
    </row>
    <row r="9" spans="1:7" x14ac:dyDescent="0.3">
      <c r="E9" t="s">
        <v>70</v>
      </c>
    </row>
    <row r="10" spans="1:7" x14ac:dyDescent="0.3">
      <c r="E10">
        <f>MIN(E2:E5)</f>
        <v>2250</v>
      </c>
    </row>
    <row r="12" spans="1:7" x14ac:dyDescent="0.3">
      <c r="C12" s="7"/>
    </row>
  </sheetData>
  <dataValidations count="1">
    <dataValidation type="list" allowBlank="1" showInputMessage="1" showErrorMessage="1" sqref="B2:B5" xr:uid="{B8FD822E-10EF-4EFC-87E4-4B2106563B21}">
      <formula1>$A$8:$A$11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Secoff</dc:creator>
  <cp:lastModifiedBy>Elizabeth Secoff</cp:lastModifiedBy>
  <dcterms:created xsi:type="dcterms:W3CDTF">2026-05-10T13:25:22Z</dcterms:created>
  <dcterms:modified xsi:type="dcterms:W3CDTF">2026-05-10T16:51:15Z</dcterms:modified>
</cp:coreProperties>
</file>